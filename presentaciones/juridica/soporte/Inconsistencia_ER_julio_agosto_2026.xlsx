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1. Costos" sheetId="2" state="visible" r:id="rId4"/>
    <sheet name="2. Cuadre acumulado" sheetId="3" state="visible" r:id="rId5"/>
    <sheet name="3. ER corregido" sheetId="4" state="visible" r:id="rId6"/>
    <sheet name="4. Balanc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5" authorId="0">
      <text>
        <r>
          <rPr>
            <sz val="10"/>
            <rFont val="Arial"/>
            <family val="2"/>
          </rPr>
          <t xml:space="preserve">Ver hoja «4. Balance», celda B7.</t>
        </r>
      </text>
    </comment>
    <comment ref="B26" authorId="0">
      <text>
        <r>
          <rPr>
            <sz val="10"/>
            <rFont val="Arial"/>
            <family val="2"/>
          </rPr>
          <t xml:space="preserve">Utilidad neta de junio del informe anterior: dato del gráfico de la presentación «Análisis Financiero Juridica Mayo–Junio 2026».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Así aparece en el PDF: en julio y agosto el subtotal figura como "-" (cero).</t>
        </r>
      </text>
    </comment>
    <comment ref="A14" authorId="0">
      <text>
        <r>
          <rPr>
            <sz val="10"/>
            <rFont val="Arial"/>
            <family val="2"/>
          </rPr>
          <t xml:space="preserve">Diferencia entre lo que suman las partidas y el subtotal impreso. Solo julio y agosto quedan distintos de cero.</t>
        </r>
      </text>
    </comment>
    <comment ref="A18" authorId="0">
      <text>
        <r>
          <rPr>
            <sz val="10"/>
            <rFont val="Arial"/>
            <family val="2"/>
          </rPr>
          <t xml:space="preserve">En julio y agosto el total impreso es igual a la mano de obra directa sola.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6" authorId="0">
      <text>
        <r>
          <rPr>
            <sz val="10"/>
            <rFont val="Arial"/>
            <family val="2"/>
          </rPr>
          <t xml:space="preserve">La suma de los meses es MAYOR que el acumulado: julio y agosto muestran más utilidad de la que deberían porque les faltan costos.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Balance de julio: columna JULIO 2026 del Estado de Situación Financiera incluido en el PDF de agosto.</t>
        </r>
      </text>
    </comment>
  </commentList>
</comments>
</file>

<file path=xl/sharedStrings.xml><?xml version="1.0" encoding="utf-8"?>
<sst xmlns="http://schemas.openxmlformats.org/spreadsheetml/2006/main" count="149" uniqueCount="102">
  <si>
    <t xml:space="preserve">Inconsistencia en el Estado de Resultado Integral · julio y agosto 2026</t>
  </si>
  <si>
    <t xml:space="preserve">JURIDICA ABOGADOS Y CONSULTORES S.A.S. · NIT 900.944.440-3</t>
  </si>
  <si>
    <t xml:space="preserve">Fuente: PDF «EEFF DE JURIDICA AGOSTO», Estado de Resultado Integral acumulado a 31 de agosto de 2026, páginas 3 y 4.</t>
  </si>
  <si>
    <t xml:space="preserve">¿CUÁL ES LA DUDA?</t>
  </si>
  <si>
    <t xml:space="preserve">En las columnas de JULIO y AGOSTO, el subtotal «Costo de personal (mano obra indirecta)» aparece en cero, aunque sus partidas (asesoría jurídica, gastos de viaje e intangibles) sí tienen valor. Por eso el «Total costos de operación» de esos meses solo suma la mano de obra directa, y la utilidad bruta, operacional y neta de julio y agosto quedan más altas de lo que deberían. La columna ACUMULADO sí incluye esos valores, así que el acumulado y el balance están bien.</t>
  </si>
  <si>
    <t xml:space="preserve">CIFRAS CLAVE</t>
  </si>
  <si>
    <t xml:space="preserve">Concepto</t>
  </si>
  <si>
    <t xml:space="preserve">Julio</t>
  </si>
  <si>
    <t xml:space="preserve">Agosto</t>
  </si>
  <si>
    <t xml:space="preserve">Total</t>
  </si>
  <si>
    <t xml:space="preserve">Mano de obra indirecta que no se sumó (hoja 1)</t>
  </si>
  <si>
    <t xml:space="preserve">Total costos de operación · según PDF</t>
  </si>
  <si>
    <t xml:space="preserve">Total costos de operación · corregido</t>
  </si>
  <si>
    <t xml:space="preserve">Utilidad neta del mes · según PDF</t>
  </si>
  <si>
    <t xml:space="preserve">Utilidad neta del mes · corregida</t>
  </si>
  <si>
    <t xml:space="preserve">COMPROBACIÓN (hoja 2)</t>
  </si>
  <si>
    <t xml:space="preserve">Suma de las utilidades mensuales impresas en el PDF</t>
  </si>
  <si>
    <t xml:space="preserve">Utilidad acumulada impresa en el PDF (= balance a 31 de agosto)</t>
  </si>
  <si>
    <t xml:space="preserve">Diferencia</t>
  </si>
  <si>
    <t xml:space="preserve">Mano de obra indirecta omitida en julio y agosto</t>
  </si>
  <si>
    <t xml:space="preserve">¿La omisión explica toda la diferencia? (tolerancia $1)</t>
  </si>
  <si>
    <t xml:space="preserve">LO QUE NECESITAMOS CONFIRMAR</t>
  </si>
  <si>
    <t xml:space="preserve">1.</t>
  </si>
  <si>
    <t xml:space="preserve">¿Se corrige el subtotal de mano de obra indirecta de julio y agosto en el Estado de Resultado Integral, para que el total de costos y la utilidad de esos meses incluyan estas partidas? (La presentación de agosto ya se armó con las cifras corregidas.)</t>
  </si>
  <si>
    <t xml:space="preserve">2.</t>
  </si>
  <si>
    <t xml:space="preserve">Duda menor (hoja 4): el balance de julio muestra $363.104 menos de utilidad que el ER actual acumulado a julio. ¿Hubo un ajuste en el ER después de cerrar el balance de julio? Agosto cuadra exactamente.</t>
  </si>
  <si>
    <t xml:space="preserve">3.</t>
  </si>
  <si>
    <t xml:space="preserve">Duda menor: las cifras de junio cambiaron frente al informe anterior (utilidad neta de junio: 28.074.688 antes, 24.484.035 ahora). ¿Corresponde a un ajuste o reclasificación ya aprobado?</t>
  </si>
  <si>
    <t xml:space="preserve">CÓMO LEER EL ARCHIVO</t>
  </si>
  <si>
    <t xml:space="preserve">Hoja 1 · Costos: vuelve a sumar las partidas de mano de obra indirecta y muestra que en julio y agosto el subtotal impreso es cero.</t>
  </si>
  <si>
    <t xml:space="preserve">Hoja 2 · Cuadre acumulado: suma los meses del PDF y los compara con la columna ACUMULADO; solo difieren las filas afectadas.</t>
  </si>
  <si>
    <t xml:space="preserve">Hoja 3 · ER corregido: recalcula el estado de resultados con la corrección; ahora cuadra con el acumulado del PDF.</t>
  </si>
  <si>
    <t xml:space="preserve">Hoja 4 · Balance: compara la utilidad acumulada con el balance de julio y agosto.</t>
  </si>
  <si>
    <t xml:space="preserve">Colores: azul = cifra copiada del PDF · negro = fórmula · fondo rojo = diferencia encontrada · fondo turquesa = cuadra.</t>
  </si>
  <si>
    <t xml:space="preserve">Paso 1 · El subtotal de mano de obra indirecta de julio y agosto está en cero</t>
  </si>
  <si>
    <t xml:space="preserve">Se vuelven a sumar las partidas del PDF y se compara con el subtotal impreso. Fuente: PDF «EEFF DE JURIDICA AGOSTO», Estado de Resultado Integral acumulado a 31 de agosto de 2026, páginas 3 y 4.</t>
  </si>
  <si>
    <t xml:space="preserve">Azul = cifra copiada del PDF  ·  Negro = fórmula  ·  Rojo = diferencia encontrada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</si>
  <si>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</si>
  <si>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</si>
  <si>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</si>
  <si>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</si>
  <si>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</si>
  <si>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</si>
  <si>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Suma de los meses</t>
  </si>
  <si>
    <t xml:space="preserve">Acumulado PDF</t>
  </si>
  <si>
    <t xml:space="preserve">COSTO DE PERSONAL (MANO OBRA INDIRECTA) · partidas</t>
  </si>
  <si>
    <t xml:space="preserve">   Asesoría jurídica</t>
  </si>
  <si>
    <t xml:space="preserve">   Vigilancia judicial</t>
  </si>
  <si>
    <t xml:space="preserve">   Gastos de viaje</t>
  </si>
  <si>
    <t xml:space="preserve">   Intangibles</t>
  </si>
  <si>
    <t xml:space="preserve">   Diversos</t>
  </si>
  <si>
    <t xml:space="preserve">Subtotal mano de obra indirecta · IMPRESO en el PDF</t>
  </si>
  <si>
    <t xml:space="preserve">Subtotal mano de obra indirecta · SUMA de las partidas</t>
  </si>
  <si>
    <t xml:space="preserve">► Mano de obra indirecta NO sumada en el subtotal</t>
  </si>
  <si>
    <t xml:space="preserve">TOTAL COSTOS DE OPERACIÓN</t>
  </si>
  <si>
    <t xml:space="preserve">Costo de personal (mano obra directa) · impreso</t>
  </si>
  <si>
    <t xml:space="preserve">Total costos de operación · IMPRESO en el PDF</t>
  </si>
  <si>
    <t xml:space="preserve">Total costos de operación · CORRECTO (directa + indirecta)</t>
  </si>
  <si>
    <t xml:space="preserve">► Costos que faltan en el total del mes</t>
  </si>
  <si>
    <t xml:space="preserve">Cómo leer esta hoja:</t>
  </si>
  <si>
    <t xml:space="preserve">• De enero a junio, el subtotal impreso coincide con la suma de las partidas (diferencia cero).</t>
  </si>
  <si>
    <t xml:space="preserve">• En julio y agosto el subtotal impreso es cero, pero las partidas suman 5.885.521 y 7.087.256.</t>
  </si>
  <si>
    <t xml:space="preserve">• La columna «Acumulado PDF» sí incluye esos valores: por eso la fila corregida cuadra con el acumulado y la impresa no.</t>
  </si>
  <si>
    <t xml:space="preserve">Paso 2 · ¿La suma de los meses da el acumulado del PDF?</t>
  </si>
  <si>
    <t xml:space="preserve">Cada fila suma enero–agosto tal como están impresos y lo compara con la columna ACUMULADO del PDF. Fuente: PDF «EEFF DE JURIDICA AGOSTO», Estado de Resultado Integral acumulado a 31 de agosto de 2026, páginas 3 y 4.</t>
  </si>
  <si>
    <t xml:space="preserve">Las filas en rojo no cuadran: todas difieren exactamente en la mano de obra indirecta omitida (5.885.521 + 7.087.256 = 12.972.777).</t>
  </si>
  <si>
    <t xml:space="preserve">Total ingresos netos</t>
  </si>
  <si>
    <t xml:space="preserve">Total costos de operación</t>
  </si>
  <si>
    <t xml:space="preserve">Utilidad bruta operacional</t>
  </si>
  <si>
    <t xml:space="preserve">Total gastos de administración y ventas</t>
  </si>
  <si>
    <t xml:space="preserve">Resultado operacional</t>
  </si>
  <si>
    <t xml:space="preserve">(+) Ingresos no operacionales</t>
  </si>
  <si>
    <t xml:space="preserve">(−) Gastos no operacionales</t>
  </si>
  <si>
    <t xml:space="preserve">Resultado antes de impuesto</t>
  </si>
  <si>
    <t xml:space="preserve">Impuesto SIMPLE</t>
  </si>
  <si>
    <t xml:space="preserve">Resultado del ejercicio</t>
  </si>
  <si>
    <t xml:space="preserve">Diferencia en «Resultado del ejercicio»</t>
  </si>
  <si>
    <t xml:space="preserve">Mano de obra indirecta omitida (julio + agosto, hoja 1)</t>
  </si>
  <si>
    <t xml:space="preserve">¿Explica toda la diferencia? (tolerancia $1 por decimales del PDF)</t>
  </si>
  <si>
    <t xml:space="preserve">• Ingresos, gastos de administración, partidas no operacionales e impuesto cuadran (diferencia cero, o $1 por los decimales del PDF).</t>
  </si>
  <si>
    <t xml:space="preserve">• Desde «Total costos de operación» hacia abajo, todas las filas difieren en 12.972.777 (los costos por debajo; las utilidades por encima).</t>
  </si>
  <si>
    <t xml:space="preserve">• Esa cifra es exactamente la mano de obra indirecta de julio y agosto que no se sumó (hoja 1). El error está solo en esas dos columnas.</t>
  </si>
  <si>
    <t xml:space="preserve">Paso 3 · Estado de resultados recalculado con la mano de obra indirecta incluida</t>
  </si>
  <si>
    <t xml:space="preserve">Todas las filas son fórmulas sobre las hojas 1 y 2. La última columna compara con el ACUMULADO del PDF.</t>
  </si>
  <si>
    <t xml:space="preserve">Total costos de operación (corregido)</t>
  </si>
  <si>
    <t xml:space="preserve">Resultado del ejercicio (corregido)</t>
  </si>
  <si>
    <t xml:space="preserve">IMPRESO vs CORREGIDO · julio y agosto</t>
  </si>
  <si>
    <t xml:space="preserve">Julio · PDF</t>
  </si>
  <si>
    <t xml:space="preserve">Julio · corregido</t>
  </si>
  <si>
    <t xml:space="preserve">Agosto · PDF</t>
  </si>
  <si>
    <t xml:space="preserve">Agosto · corregido</t>
  </si>
  <si>
    <t xml:space="preserve">Paso 4 · Cuadre con el balance (resultado del ejercicio)</t>
  </si>
  <si>
    <t xml:space="preserve">Compara la utilidad acumulada del ER corregido con la cuenta «Resultado del ejercicio» del Estado de Situación Financiera (página 2 del PDF).</t>
  </si>
  <si>
    <t xml:space="preserve">A 31 de julio</t>
  </si>
  <si>
    <t xml:space="preserve">A 31 de agosto</t>
  </si>
  <si>
    <t xml:space="preserve">Movimiento de agosto</t>
  </si>
  <si>
    <t xml:space="preserve">Resultado del ejercicio · balance (PDF)</t>
  </si>
  <si>
    <t xml:space="preserve">Utilidad acumulada · ER corregido (hoja 3)</t>
  </si>
  <si>
    <t xml:space="preserve">Diferencia (balance − ER)</t>
  </si>
  <si>
    <t xml:space="preserve">• A 31 de agosto, el balance cuadra exactamente con el ER corregido: confirma que el acumulado del PDF es el correcto.</t>
  </si>
  <si>
    <t xml:space="preserve">• A 31 de julio hay una diferencia menor: el balance de julio muestra menos utilidad que el ER actual hasta julio.</t>
  </si>
  <si>
    <t xml:space="preserve">  Posible ajuste registrado en el ER después de cerrar el balance de julio. Es una duda aparte y de bajo monto.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</si>
</sst>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9"/>
      <color rgb="FF7DD1EB"/>
      <name val="Arial"/>
      <family val="0"/>
      <charset val="1"/>
    </font>
    <font>
      <b val="true"/>
      <sz val="12"/>
      <color rgb="FF05687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011E66"/>
      <name val="Arial"/>
      <family val="0"/>
      <charset val="1"/>
    </font>
    <font>
      <sz val="10"/>
      <name val="Arial"/>
      <family val="2"/>
    </font>
    <font>
      <i val="true"/>
      <sz val="9"/>
      <color rgb="FF5A6572"/>
      <name val="Arial"/>
      <family val="0"/>
      <charset val="1"/>
    </font>
    <font>
      <b val="true"/>
      <sz val="10"/>
      <color rgb="FF05687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5687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11E66"/>
        <bgColor rgb="FF000080"/>
      </patternFill>
    </fill>
    <fill>
      <patternFill patternType="solid">
        <fgColor rgb="FF056875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6EF"/>
      </left>
      <right style="thin">
        <color rgb="FFDDE6EF"/>
      </right>
      <top style="thin">
        <color rgb="FFDDE6EF"/>
      </top>
      <bottom style="thin">
        <color rgb="FFDD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  <fill>
        <patternFill>
          <bgColor rgb="FFFBE9E7"/>
        </patternFill>
      </fill>
    </dxf>
    <dxf>
      <font>
        <name val="Arial"/>
        <charset val="1"/>
        <family val="0"/>
        <b val="1"/>
        <color rgb="FF056875"/>
      </font>
      <fill>
        <patternFill>
          <bgColor rgb="FFE3F6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6875"/>
      <rgbColor rgb="FFC0C0C0"/>
      <rgbColor rgb="FF808080"/>
      <rgbColor rgb="FF9999FF"/>
      <rgbColor rgb="FF993366"/>
      <rgbColor rgb="FFFBE9E7"/>
      <rgbColor rgb="FFE3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EF"/>
      <rgbColor rgb="FFCCFFCC"/>
      <rgbColor rgb="FFFFFF99"/>
      <rgbColor rgb="FF7DD1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572"/>
      <rgbColor rgb="FF969696"/>
      <rgbColor rgb="FF011E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8"/>
    <col collapsed="false" customWidth="true" hidden="false" outlineLevel="0" max="5" min="3" style="0" width="18"/>
  </cols>
  <sheetData>
    <row r="1" customFormat="false" ht="27.75" hidden="false" customHeight="true" outlineLevel="0" collapsed="false">
      <c r="A1" s="1"/>
      <c r="B1" s="2" t="s">
        <v>0</v>
      </c>
      <c r="C1" s="1"/>
      <c r="D1" s="1"/>
      <c r="E1" s="1"/>
      <c r="F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</row>
    <row r="3" customFormat="false" ht="15" hidden="false" customHeight="false" outlineLevel="0" collapsed="false">
      <c r="A3" s="1"/>
      <c r="B3" s="4" t="s">
        <v>2</v>
      </c>
      <c r="C3" s="1"/>
      <c r="D3" s="1"/>
      <c r="E3" s="1"/>
      <c r="F3" s="1"/>
    </row>
    <row r="5" customFormat="false" ht="15" hidden="false" customHeight="false" outlineLevel="0" collapsed="false">
      <c r="B5" s="5" t="s">
        <v>3</v>
      </c>
    </row>
    <row r="6" customFormat="false" ht="57.75" hidden="false" customHeight="true" outlineLevel="0" collapsed="false">
      <c r="B6" s="6" t="s">
        <v>4</v>
      </c>
      <c r="C6" s="6"/>
      <c r="D6" s="6"/>
      <c r="E6" s="6"/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7" t="s">
        <v>6</v>
      </c>
      <c r="C9" s="7" t="s">
        <v>7</v>
      </c>
      <c r="D9" s="7" t="s">
        <v>8</v>
      </c>
      <c r="E9" s="7" t="s">
        <v>9</v>
      </c>
    </row>
    <row r="10" customFormat="false" ht="15" hidden="false" customHeight="false" outlineLevel="0" collapsed="false">
      <c r="B10" s="8" t="s">
        <v>10</v>
      </c>
      <c r="C10" s="9" t="n">
        <f aca="false">'1. Costos'!H14</f>
        <v>5885521</v>
      </c>
      <c r="D10" s="9" t="n">
        <f aca="false">'1. Costos'!I14</f>
        <v>7087256</v>
      </c>
      <c r="E10" s="9" t="n">
        <f aca="false">C10+D10</f>
        <v>12972777</v>
      </c>
    </row>
    <row r="11" customFormat="false" ht="15" hidden="false" customHeight="false" outlineLevel="0" collapsed="false">
      <c r="B11" s="10" t="s">
        <v>11</v>
      </c>
      <c r="C11" s="11" t="n">
        <f aca="false">'3. ER corregido'!B18</f>
        <v>15460182</v>
      </c>
      <c r="D11" s="11" t="n">
        <f aca="false">'3. ER corregido'!E18</f>
        <v>16243670</v>
      </c>
      <c r="E11" s="11"/>
    </row>
    <row r="12" customFormat="false" ht="15" hidden="false" customHeight="false" outlineLevel="0" collapsed="false">
      <c r="B12" s="10" t="s">
        <v>12</v>
      </c>
      <c r="C12" s="11" t="n">
        <f aca="false">'3. ER corregido'!C18</f>
        <v>21345703</v>
      </c>
      <c r="D12" s="11" t="n">
        <f aca="false">'3. ER corregido'!F18</f>
        <v>23330926</v>
      </c>
      <c r="E12" s="11"/>
    </row>
    <row r="13" customFormat="false" ht="15" hidden="false" customHeight="false" outlineLevel="0" collapsed="false">
      <c r="B13" s="10" t="s">
        <v>13</v>
      </c>
      <c r="C13" s="11" t="n">
        <f aca="false">'3. ER corregido'!B22</f>
        <v>33091251</v>
      </c>
      <c r="D13" s="11" t="n">
        <f aca="false">'3. ER corregido'!E22</f>
        <v>13274089</v>
      </c>
      <c r="E13" s="11"/>
    </row>
    <row r="14" customFormat="false" ht="15" hidden="false" customHeight="false" outlineLevel="0" collapsed="false">
      <c r="B14" s="8" t="s">
        <v>14</v>
      </c>
      <c r="C14" s="12" t="n">
        <f aca="false">'3. ER corregido'!C22</f>
        <v>27205730.91</v>
      </c>
      <c r="D14" s="12" t="n">
        <f aca="false">'3. ER corregido'!F22</f>
        <v>6186832.99</v>
      </c>
      <c r="E14" s="12"/>
    </row>
    <row r="16" customFormat="false" ht="15" hidden="false" customHeight="false" outlineLevel="0" collapsed="false">
      <c r="B16" s="5" t="s">
        <v>15</v>
      </c>
    </row>
    <row r="17" customFormat="false" ht="15" hidden="false" customHeight="false" outlineLevel="0" collapsed="false">
      <c r="B17" s="13" t="s">
        <v>16</v>
      </c>
      <c r="C17" s="14" t="n">
        <f aca="false">'2. Cuadre acumulado'!J14</f>
        <v>210320201</v>
      </c>
    </row>
    <row r="18" customFormat="false" ht="15" hidden="false" customHeight="false" outlineLevel="0" collapsed="false">
      <c r="B18" s="13" t="s">
        <v>17</v>
      </c>
      <c r="C18" s="14" t="n">
        <f aca="false">'2. Cuadre acumulado'!K14</f>
        <v>197347425</v>
      </c>
    </row>
    <row r="19" customFormat="false" ht="15" hidden="false" customHeight="false" outlineLevel="0" collapsed="false">
      <c r="B19" s="15" t="s">
        <v>18</v>
      </c>
      <c r="C19" s="14" t="n">
        <f aca="false">C17-C18</f>
        <v>12972776</v>
      </c>
    </row>
    <row r="20" customFormat="false" ht="15" hidden="false" customHeight="false" outlineLevel="0" collapsed="false">
      <c r="B20" s="13" t="s">
        <v>19</v>
      </c>
      <c r="C20" s="14" t="n">
        <f aca="false">E10</f>
        <v>12972777</v>
      </c>
    </row>
    <row r="21" customFormat="false" ht="15" hidden="false" customHeight="false" outlineLevel="0" collapsed="false">
      <c r="B21" s="15" t="s">
        <v>20</v>
      </c>
      <c r="C21" s="16" t="str">
        <f aca="false">IF(ABS(C19-C20)&lt;=1,"SÍ, cuadra","NO")</f>
        <v>SÍ, cuadra</v>
      </c>
    </row>
    <row r="23" customFormat="false" ht="15" hidden="false" customHeight="false" outlineLevel="0" collapsed="false">
      <c r="B23" s="5" t="s">
        <v>21</v>
      </c>
    </row>
    <row r="24" customFormat="false" ht="42" hidden="false" customHeight="true" outlineLevel="0" collapsed="false">
      <c r="A24" s="17" t="s">
        <v>22</v>
      </c>
      <c r="B24" s="6" t="s">
        <v>23</v>
      </c>
      <c r="C24" s="6"/>
      <c r="D24" s="6"/>
      <c r="E24" s="6"/>
    </row>
    <row r="25" customFormat="false" ht="42" hidden="false" customHeight="true" outlineLevel="0" collapsed="false">
      <c r="A25" s="17" t="s">
        <v>24</v>
      </c>
      <c r="B25" s="6" t="s">
        <v>25</v>
      </c>
      <c r="C25" s="6"/>
      <c r="D25" s="6"/>
      <c r="E25" s="6"/>
    </row>
    <row r="26" customFormat="false" ht="42" hidden="false" customHeight="true" outlineLevel="0" collapsed="false">
      <c r="A26" s="17" t="s">
        <v>26</v>
      </c>
      <c r="B26" s="6" t="s">
        <v>27</v>
      </c>
      <c r="C26" s="6"/>
      <c r="D26" s="6"/>
      <c r="E26" s="6"/>
    </row>
    <row r="28" customFormat="false" ht="15" hidden="false" customHeight="false" outlineLevel="0" collapsed="false">
      <c r="B28" s="5" t="s">
        <v>28</v>
      </c>
    </row>
    <row r="29" customFormat="false" ht="27.75" hidden="false" customHeight="true" outlineLevel="0" collapsed="false">
      <c r="B29" s="6" t="s">
        <v>29</v>
      </c>
      <c r="C29" s="6"/>
      <c r="D29" s="6"/>
      <c r="E29" s="6"/>
    </row>
    <row r="30" customFormat="false" ht="27.75" hidden="false" customHeight="true" outlineLevel="0" collapsed="false">
      <c r="B30" s="6" t="s">
        <v>30</v>
      </c>
      <c r="C30" s="6"/>
      <c r="D30" s="6"/>
      <c r="E30" s="6"/>
    </row>
    <row r="31" customFormat="false" ht="27.75" hidden="false" customHeight="true" outlineLevel="0" collapsed="false">
      <c r="B31" s="6" t="s">
        <v>31</v>
      </c>
      <c r="C31" s="6"/>
      <c r="D31" s="6"/>
      <c r="E31" s="6"/>
    </row>
    <row r="32" customFormat="false" ht="27.75" hidden="false" customHeight="true" outlineLevel="0" collapsed="false">
      <c r="B32" s="6" t="s">
        <v>32</v>
      </c>
      <c r="C32" s="6"/>
      <c r="D32" s="6"/>
      <c r="E32" s="6"/>
    </row>
    <row r="33" customFormat="false" ht="27.75" hidden="false" customHeight="true" outlineLevel="0" collapsed="false">
      <c r="B33" s="6" t="s">
        <v>33</v>
      </c>
      <c r="C33" s="6"/>
      <c r="D33" s="6"/>
      <c r="E33" s="6"/>
    </row>
  </sheetData>
  <mergeCells count="9">
    <mergeCell ref="B6:E6"/>
    <mergeCell ref="B24:E24"/>
    <mergeCell ref="B25:E25"/>
    <mergeCell ref="B26:E26"/>
    <mergeCell ref="B29:E29"/>
    <mergeCell ref="B30:E30"/>
    <mergeCell ref="B31:E31"/>
    <mergeCell ref="B32:E32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2" min="2" style="0" width="14"/>
  </cols>
  <sheetData>
    <row r="1" customFormat="false" ht="27.75" hidden="false" customHeight="true" outlineLevel="0" collapsed="false">
      <c r="A1" s="2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3" t="s">
        <v>35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8" t="s">
        <v>36</v>
      </c>
    </row>
    <row r="4" customFormat="false" ht="30" hidden="false" customHeight="true" outlineLevel="0" collapsed="false">
      <c r="A4" s="19" t="s">
        <v>6</v>
      </c>
      <c r="B4" s="19" t="s">
        <v>37</v>
      </c>
      <c r="C4" s="19" t="s">
        <v>38</v>
      </c>
      <c r="D4" s="19" t="s">
        <v>39</v>
      </c>
      <c r="E4" s="19" t="s">
        <v>40</v>
      </c>
      <c r="F4" s="19" t="s">
        <v>41</v>
      </c>
      <c r="G4" s="19" t="s">
        <v>42</v>
      </c>
      <c r="H4" s="19" t="s">
        <v>7</v>
      </c>
      <c r="I4" s="19" t="s">
        <v>8</v>
      </c>
      <c r="J4" s="20" t="s">
        <v>43</v>
      </c>
      <c r="K4" s="20" t="s">
        <v>44</v>
      </c>
      <c r="L4" s="20" t="s">
        <v>18</v>
      </c>
    </row>
    <row r="5" customFormat="false" ht="15" hidden="false" customHeight="false" outlineLevel="0" collapsed="false">
      <c r="A5" s="21" t="s">
        <v>45</v>
      </c>
    </row>
    <row r="6" customFormat="false" ht="15" hidden="false" customHeight="false" outlineLevel="0" collapsed="false">
      <c r="A6" s="13" t="s">
        <v>46</v>
      </c>
      <c r="B6" s="22" t="n">
        <v>4400000</v>
      </c>
      <c r="C6" s="22" t="n">
        <v>4400000</v>
      </c>
      <c r="D6" s="22" t="n">
        <v>4400000</v>
      </c>
      <c r="E6" s="22" t="n">
        <v>4400000</v>
      </c>
      <c r="F6" s="22" t="n">
        <v>4400000</v>
      </c>
      <c r="G6" s="22" t="n">
        <v>4400000</v>
      </c>
      <c r="H6" s="22" t="n">
        <v>4834187</v>
      </c>
      <c r="I6" s="22" t="n">
        <v>4838028</v>
      </c>
      <c r="J6" s="10" t="n">
        <f aca="false">SUM(B6:I6)</f>
        <v>36072215</v>
      </c>
      <c r="K6" s="22" t="n">
        <v>36072215</v>
      </c>
      <c r="L6" s="8" t="n">
        <f aca="false">ROUND(J6-K6,0)</f>
        <v>0</v>
      </c>
    </row>
    <row r="7" customFormat="false" ht="15" hidden="false" customHeight="false" outlineLevel="0" collapsed="false">
      <c r="A7" s="13" t="s">
        <v>47</v>
      </c>
      <c r="B7" s="22" t="n">
        <v>0</v>
      </c>
      <c r="C7" s="22" t="n">
        <v>230552</v>
      </c>
      <c r="D7" s="22" t="n">
        <v>388095</v>
      </c>
      <c r="E7" s="22" t="n">
        <v>426505</v>
      </c>
      <c r="F7" s="22" t="n">
        <v>422664</v>
      </c>
      <c r="G7" s="22" t="n">
        <v>434187</v>
      </c>
      <c r="H7" s="22" t="n">
        <v>0</v>
      </c>
      <c r="I7" s="22" t="n">
        <v>0</v>
      </c>
      <c r="J7" s="10" t="n">
        <f aca="false">SUM(B7:I7)</f>
        <v>1902003</v>
      </c>
      <c r="K7" s="22" t="n">
        <v>1902003</v>
      </c>
      <c r="L7" s="8" t="n">
        <f aca="false">ROUND(J7-K7,0)</f>
        <v>0</v>
      </c>
    </row>
    <row r="8" customFormat="false" ht="15" hidden="false" customHeight="false" outlineLevel="0" collapsed="false">
      <c r="A8" s="13" t="s">
        <v>48</v>
      </c>
      <c r="B8" s="22" t="n">
        <v>0</v>
      </c>
      <c r="C8" s="22" t="n">
        <v>242017</v>
      </c>
      <c r="D8" s="22" t="n">
        <v>0</v>
      </c>
      <c r="E8" s="22" t="n">
        <v>0</v>
      </c>
      <c r="F8" s="22" t="n">
        <v>0</v>
      </c>
      <c r="G8" s="22" t="n">
        <v>0</v>
      </c>
      <c r="H8" s="22" t="n">
        <v>0</v>
      </c>
      <c r="I8" s="22" t="n">
        <v>1197894</v>
      </c>
      <c r="J8" s="10" t="n">
        <f aca="false">SUM(B8:I8)</f>
        <v>1439911</v>
      </c>
      <c r="K8" s="22" t="n">
        <v>1439911</v>
      </c>
      <c r="L8" s="8" t="n">
        <f aca="false">ROUND(J8-K8,0)</f>
        <v>0</v>
      </c>
    </row>
    <row r="9" customFormat="false" ht="15" hidden="false" customHeight="false" outlineLevel="0" collapsed="false">
      <c r="A9" s="13" t="s">
        <v>49</v>
      </c>
      <c r="B9" s="22" t="n">
        <v>500345</v>
      </c>
      <c r="C9" s="22" t="n">
        <v>500345</v>
      </c>
      <c r="D9" s="22" t="n">
        <v>500345</v>
      </c>
      <c r="E9" s="22" t="n">
        <v>500345</v>
      </c>
      <c r="F9" s="22" t="n">
        <v>500345</v>
      </c>
      <c r="G9" s="22" t="n">
        <v>1051334</v>
      </c>
      <c r="H9" s="22" t="n">
        <v>1051334</v>
      </c>
      <c r="I9" s="22" t="n">
        <v>1051334</v>
      </c>
      <c r="J9" s="10" t="n">
        <f aca="false">SUM(B9:I9)</f>
        <v>5655727</v>
      </c>
      <c r="K9" s="22" t="n">
        <v>5655727</v>
      </c>
      <c r="L9" s="8" t="n">
        <f aca="false">ROUND(J9-K9,0)</f>
        <v>0</v>
      </c>
    </row>
    <row r="10" customFormat="false" ht="15" hidden="false" customHeight="false" outlineLevel="0" collapsed="false">
      <c r="A10" s="13" t="s">
        <v>50</v>
      </c>
      <c r="B10" s="22" t="n">
        <v>160000</v>
      </c>
      <c r="C10" s="22" t="n">
        <v>160000</v>
      </c>
      <c r="D10" s="22" t="n">
        <v>160000</v>
      </c>
      <c r="E10" s="22" t="n">
        <v>160000</v>
      </c>
      <c r="F10" s="22" t="n">
        <v>154667</v>
      </c>
      <c r="G10" s="22" t="n">
        <v>0</v>
      </c>
      <c r="H10" s="22" t="n">
        <v>0</v>
      </c>
      <c r="I10" s="22" t="n">
        <v>0</v>
      </c>
      <c r="J10" s="10" t="n">
        <f aca="false">SUM(B10:I10)</f>
        <v>794667</v>
      </c>
      <c r="K10" s="22" t="n">
        <v>794667</v>
      </c>
      <c r="L10" s="8" t="n">
        <f aca="false">ROUND(J10-K10,0)</f>
        <v>0</v>
      </c>
    </row>
    <row r="12" customFormat="false" ht="15" hidden="false" customHeight="false" outlineLevel="0" collapsed="false">
      <c r="A12" s="15" t="s">
        <v>51</v>
      </c>
      <c r="B12" s="23" t="n">
        <v>5060345</v>
      </c>
      <c r="C12" s="23" t="n">
        <v>5532914</v>
      </c>
      <c r="D12" s="23" t="n">
        <v>5448440</v>
      </c>
      <c r="E12" s="23" t="n">
        <v>5486850</v>
      </c>
      <c r="F12" s="23" t="n">
        <v>5477676</v>
      </c>
      <c r="G12" s="23" t="n">
        <v>5885521</v>
      </c>
      <c r="H12" s="23" t="n">
        <v>0</v>
      </c>
      <c r="I12" s="23" t="n">
        <v>0</v>
      </c>
      <c r="J12" s="8" t="n">
        <f aca="false">SUM(B12:I12)</f>
        <v>32891746</v>
      </c>
      <c r="K12" s="23" t="n">
        <v>45864523</v>
      </c>
      <c r="L12" s="8" t="n">
        <f aca="false">ROUND(J12-K12,0)</f>
        <v>-12972777</v>
      </c>
    </row>
    <row r="13" customFormat="false" ht="15" hidden="false" customHeight="false" outlineLevel="0" collapsed="false">
      <c r="A13" s="15" t="s">
        <v>52</v>
      </c>
      <c r="B13" s="8" t="n">
        <f aca="false">SUM(B6:B10)</f>
        <v>5060345</v>
      </c>
      <c r="C13" s="8" t="n">
        <f aca="false">SUM(C6:C10)</f>
        <v>5532914</v>
      </c>
      <c r="D13" s="8" t="n">
        <f aca="false">SUM(D6:D10)</f>
        <v>5448440</v>
      </c>
      <c r="E13" s="8" t="n">
        <f aca="false">SUM(E6:E10)</f>
        <v>5486850</v>
      </c>
      <c r="F13" s="8" t="n">
        <f aca="false">SUM(F6:F10)</f>
        <v>5477676</v>
      </c>
      <c r="G13" s="8" t="n">
        <f aca="false">SUM(G6:G10)</f>
        <v>5885521</v>
      </c>
      <c r="H13" s="8" t="n">
        <f aca="false">SUM(H6:H10)</f>
        <v>5885521</v>
      </c>
      <c r="I13" s="8" t="n">
        <f aca="false">SUM(I6:I10)</f>
        <v>7087256</v>
      </c>
      <c r="J13" s="8" t="n">
        <f aca="false">SUM(B13:I13)</f>
        <v>45864523</v>
      </c>
      <c r="K13" s="23" t="n">
        <v>45864523</v>
      </c>
      <c r="L13" s="8" t="n">
        <f aca="false">ROUND(J13-K13,0)</f>
        <v>0</v>
      </c>
    </row>
    <row r="14" customFormat="false" ht="15" hidden="false" customHeight="false" outlineLevel="0" collapsed="false">
      <c r="A14" s="15" t="s">
        <v>53</v>
      </c>
      <c r="B14" s="8" t="n">
        <f aca="false">B13-B12</f>
        <v>0</v>
      </c>
      <c r="C14" s="8" t="n">
        <f aca="false">C13-C12</f>
        <v>0</v>
      </c>
      <c r="D14" s="8" t="n">
        <f aca="false">D13-D12</f>
        <v>0</v>
      </c>
      <c r="E14" s="8" t="n">
        <f aca="false">E13-E12</f>
        <v>0</v>
      </c>
      <c r="F14" s="8" t="n">
        <f aca="false">F13-F12</f>
        <v>0</v>
      </c>
      <c r="G14" s="8" t="n">
        <f aca="false">G13-G12</f>
        <v>0</v>
      </c>
      <c r="H14" s="8" t="n">
        <f aca="false">H13-H12</f>
        <v>5885521</v>
      </c>
      <c r="I14" s="8" t="n">
        <f aca="false">I13-I12</f>
        <v>7087256</v>
      </c>
      <c r="J14" s="8" t="n">
        <f aca="false">SUM(B14:I14)</f>
        <v>12972777</v>
      </c>
    </row>
    <row r="16" customFormat="false" ht="15" hidden="false" customHeight="false" outlineLevel="0" collapsed="false">
      <c r="A16" s="21" t="s">
        <v>54</v>
      </c>
    </row>
    <row r="17" customFormat="false" ht="15" hidden="false" customHeight="false" outlineLevel="0" collapsed="false">
      <c r="A17" s="13" t="s">
        <v>55</v>
      </c>
      <c r="B17" s="22" t="n">
        <v>14368426</v>
      </c>
      <c r="C17" s="22" t="n">
        <v>13769040</v>
      </c>
      <c r="D17" s="22" t="n">
        <v>14235755</v>
      </c>
      <c r="E17" s="22" t="n">
        <v>14771545</v>
      </c>
      <c r="F17" s="22" t="n">
        <v>16710586</v>
      </c>
      <c r="G17" s="22" t="n">
        <v>12265911</v>
      </c>
      <c r="H17" s="22" t="n">
        <v>15460182</v>
      </c>
      <c r="I17" s="22" t="n">
        <v>16243670</v>
      </c>
      <c r="J17" s="10" t="n">
        <f aca="false">SUM(B17:I17)</f>
        <v>117825115</v>
      </c>
      <c r="K17" s="22" t="n">
        <v>117825115</v>
      </c>
      <c r="L17" s="8" t="n">
        <f aca="false">ROUND(J17-K17,0)</f>
        <v>0</v>
      </c>
    </row>
    <row r="18" customFormat="false" ht="15" hidden="false" customHeight="false" outlineLevel="0" collapsed="false">
      <c r="A18" s="15" t="s">
        <v>56</v>
      </c>
      <c r="B18" s="23" t="n">
        <v>19428771</v>
      </c>
      <c r="C18" s="23" t="n">
        <v>19301954</v>
      </c>
      <c r="D18" s="23" t="n">
        <v>19684195</v>
      </c>
      <c r="E18" s="23" t="n">
        <v>20258395</v>
      </c>
      <c r="F18" s="23" t="n">
        <v>22188262</v>
      </c>
      <c r="G18" s="23" t="n">
        <v>18151432</v>
      </c>
      <c r="H18" s="23" t="n">
        <v>15460182</v>
      </c>
      <c r="I18" s="23" t="n">
        <v>16243670</v>
      </c>
      <c r="J18" s="8" t="n">
        <f aca="false">SUM(B18:I18)</f>
        <v>150716861</v>
      </c>
      <c r="K18" s="23" t="n">
        <v>163689638</v>
      </c>
      <c r="L18" s="8" t="n">
        <f aca="false">ROUND(J18-K18,0)</f>
        <v>-12972777</v>
      </c>
    </row>
    <row r="19" customFormat="false" ht="15" hidden="false" customHeight="false" outlineLevel="0" collapsed="false">
      <c r="A19" s="15" t="s">
        <v>57</v>
      </c>
      <c r="B19" s="8" t="n">
        <f aca="false">B17+B13</f>
        <v>19428771</v>
      </c>
      <c r="C19" s="8" t="n">
        <f aca="false">C17+C13</f>
        <v>19301954</v>
      </c>
      <c r="D19" s="8" t="n">
        <f aca="false">D17+D13</f>
        <v>19684195</v>
      </c>
      <c r="E19" s="8" t="n">
        <f aca="false">E17+E13</f>
        <v>20258395</v>
      </c>
      <c r="F19" s="8" t="n">
        <f aca="false">F17+F13</f>
        <v>22188262</v>
      </c>
      <c r="G19" s="8" t="n">
        <f aca="false">G17+G13</f>
        <v>18151432</v>
      </c>
      <c r="H19" s="8" t="n">
        <f aca="false">H17+H13</f>
        <v>21345703</v>
      </c>
      <c r="I19" s="8" t="n">
        <f aca="false">I17+I13</f>
        <v>23330926</v>
      </c>
      <c r="J19" s="8" t="n">
        <f aca="false">SUM(B19:I19)</f>
        <v>163689638</v>
      </c>
      <c r="K19" s="23" t="n">
        <v>163689638</v>
      </c>
      <c r="L19" s="8" t="n">
        <f aca="false">ROUND(J19-K19,0)</f>
        <v>0</v>
      </c>
    </row>
    <row r="20" customFormat="false" ht="15" hidden="false" customHeight="false" outlineLevel="0" collapsed="false">
      <c r="A20" s="15" t="s">
        <v>58</v>
      </c>
      <c r="B20" s="8" t="n">
        <f aca="false">B19-B18</f>
        <v>0</v>
      </c>
      <c r="C20" s="8" t="n">
        <f aca="false">C19-C18</f>
        <v>0</v>
      </c>
      <c r="D20" s="8" t="n">
        <f aca="false">D19-D18</f>
        <v>0</v>
      </c>
      <c r="E20" s="8" t="n">
        <f aca="false">E19-E18</f>
        <v>0</v>
      </c>
      <c r="F20" s="8" t="n">
        <f aca="false">F19-F18</f>
        <v>0</v>
      </c>
      <c r="G20" s="8" t="n">
        <f aca="false">G19-G18</f>
        <v>0</v>
      </c>
      <c r="H20" s="8" t="n">
        <f aca="false">H19-H18</f>
        <v>5885521</v>
      </c>
      <c r="I20" s="8" t="n">
        <f aca="false">I19-I18</f>
        <v>7087256</v>
      </c>
      <c r="J20" s="8" t="n">
        <f aca="false">SUM(B20:I20)</f>
        <v>12972777</v>
      </c>
    </row>
    <row r="22" customFormat="false" ht="15" hidden="false" customHeight="false" outlineLevel="0" collapsed="false">
      <c r="A22" s="24" t="s">
        <v>59</v>
      </c>
    </row>
    <row r="23" customFormat="false" ht="15" hidden="false" customHeight="false" outlineLevel="0" collapsed="false">
      <c r="A23" s="25" t="s">
        <v>60</v>
      </c>
    </row>
    <row r="24" customFormat="false" ht="15" hidden="false" customHeight="false" outlineLevel="0" collapsed="false">
      <c r="A24" s="25" t="s">
        <v>61</v>
      </c>
    </row>
    <row r="25" customFormat="false" ht="15" hidden="false" customHeight="false" outlineLevel="0" collapsed="false">
      <c r="A25" s="25" t="s">
        <v>62</v>
      </c>
    </row>
  </sheetData>
  <conditionalFormatting sqref="L6">
    <cfRule type="expression" priority="2" aboveAverage="0" equalAverage="0" bottom="0" percent="0" rank="0" text="" dxfId="0">
      <formula>ABS(L6)&gt;1</formula>
    </cfRule>
  </conditionalFormatting>
  <conditionalFormatting sqref="L7">
    <cfRule type="expression" priority="3" aboveAverage="0" equalAverage="0" bottom="0" percent="0" rank="0" text="" dxfId="0">
      <formula>ABS(L7)&gt;1</formula>
    </cfRule>
  </conditionalFormatting>
  <conditionalFormatting sqref="L8">
    <cfRule type="expression" priority="4" aboveAverage="0" equalAverage="0" bottom="0" percent="0" rank="0" text="" dxfId="0">
      <formula>ABS(L8)&gt;1</formula>
    </cfRule>
  </conditionalFormatting>
  <conditionalFormatting sqref="L9">
    <cfRule type="expression" priority="5" aboveAverage="0" equalAverage="0" bottom="0" percent="0" rank="0" text="" dxfId="0">
      <formula>ABS(L9)&gt;1</formula>
    </cfRule>
  </conditionalFormatting>
  <conditionalFormatting sqref="L10">
    <cfRule type="expression" priority="6" aboveAverage="0" equalAverage="0" bottom="0" percent="0" rank="0" text="" dxfId="0">
      <formula>ABS(L10)&gt;1</formula>
    </cfRule>
  </conditionalFormatting>
  <conditionalFormatting sqref="L12:L13">
    <cfRule type="expression" priority="7" aboveAverage="0" equalAverage="0" bottom="0" percent="0" rank="0" text="" dxfId="0">
      <formula>ABS(L12)&gt;1</formula>
    </cfRule>
  </conditionalFormatting>
  <conditionalFormatting sqref="B14:I14">
    <cfRule type="expression" priority="8" aboveAverage="0" equalAverage="0" bottom="0" percent="0" rank="0" text="" dxfId="0">
      <formula>ABS(B14)&gt;1</formula>
    </cfRule>
  </conditionalFormatting>
  <conditionalFormatting sqref="L17">
    <cfRule type="expression" priority="9" aboveAverage="0" equalAverage="0" bottom="0" percent="0" rank="0" text="" dxfId="0">
      <formula>ABS(L17)&gt;1</formula>
    </cfRule>
  </conditionalFormatting>
  <conditionalFormatting sqref="L18">
    <cfRule type="expression" priority="10" aboveAverage="0" equalAverage="0" bottom="0" percent="0" rank="0" text="" dxfId="0">
      <formula>ABS(L18)&gt;1</formula>
    </cfRule>
  </conditionalFormatting>
  <conditionalFormatting sqref="L19">
    <cfRule type="expression" priority="11" aboveAverage="0" equalAverage="0" bottom="0" percent="0" rank="0" text="" dxfId="0">
      <formula>ABS(L19)&gt;1</formula>
    </cfRule>
  </conditionalFormatting>
  <conditionalFormatting sqref="B20:I20">
    <cfRule type="expression" priority="12" aboveAverage="0" equalAverage="0" bottom="0" percent="0" rank="0" text="" dxfId="0">
      <formula>ABS(B20)&gt;1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2" min="2" style="0" width="14"/>
  </cols>
  <sheetData>
    <row r="1" customFormat="false" ht="27.75" hidden="false" customHeight="true" outlineLevel="0" collapsed="false">
      <c r="A1" s="2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3" t="s">
        <v>64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8" t="s">
        <v>65</v>
      </c>
    </row>
    <row r="4" customFormat="false" ht="30" hidden="false" customHeight="true" outlineLevel="0" collapsed="false">
      <c r="A4" s="19" t="s">
        <v>6</v>
      </c>
      <c r="B4" s="19" t="s">
        <v>37</v>
      </c>
      <c r="C4" s="19" t="s">
        <v>38</v>
      </c>
      <c r="D4" s="19" t="s">
        <v>39</v>
      </c>
      <c r="E4" s="19" t="s">
        <v>40</v>
      </c>
      <c r="F4" s="19" t="s">
        <v>41</v>
      </c>
      <c r="G4" s="19" t="s">
        <v>42</v>
      </c>
      <c r="H4" s="19" t="s">
        <v>7</v>
      </c>
      <c r="I4" s="19" t="s">
        <v>8</v>
      </c>
      <c r="J4" s="20" t="s">
        <v>43</v>
      </c>
      <c r="K4" s="20" t="s">
        <v>44</v>
      </c>
      <c r="L4" s="20" t="s">
        <v>18</v>
      </c>
    </row>
    <row r="5" customFormat="false" ht="15" hidden="false" customHeight="false" outlineLevel="0" collapsed="false">
      <c r="A5" s="15" t="s">
        <v>66</v>
      </c>
      <c r="B5" s="23" t="n">
        <v>63161460</v>
      </c>
      <c r="C5" s="23" t="n">
        <v>70894572</v>
      </c>
      <c r="D5" s="23" t="n">
        <v>74422717</v>
      </c>
      <c r="E5" s="23" t="n">
        <v>73518795</v>
      </c>
      <c r="F5" s="23" t="n">
        <v>91144572</v>
      </c>
      <c r="G5" s="23" t="n">
        <v>102167217</v>
      </c>
      <c r="H5" s="23" t="n">
        <v>75012054</v>
      </c>
      <c r="I5" s="23" t="n">
        <v>68648289</v>
      </c>
      <c r="J5" s="8" t="n">
        <f aca="false">SUM(B5:I5)</f>
        <v>618969676</v>
      </c>
      <c r="K5" s="23" t="n">
        <v>618969676</v>
      </c>
      <c r="L5" s="8" t="n">
        <f aca="false">ROUND(J5-K5,0)</f>
        <v>0</v>
      </c>
    </row>
    <row r="6" customFormat="false" ht="15" hidden="false" customHeight="false" outlineLevel="0" collapsed="false">
      <c r="A6" s="15" t="s">
        <v>67</v>
      </c>
      <c r="B6" s="23" t="n">
        <v>19428771</v>
      </c>
      <c r="C6" s="23" t="n">
        <v>19301954</v>
      </c>
      <c r="D6" s="23" t="n">
        <v>19684195</v>
      </c>
      <c r="E6" s="23" t="n">
        <v>20258395</v>
      </c>
      <c r="F6" s="23" t="n">
        <v>22188262</v>
      </c>
      <c r="G6" s="23" t="n">
        <v>18151432</v>
      </c>
      <c r="H6" s="23" t="n">
        <v>15460182</v>
      </c>
      <c r="I6" s="23" t="n">
        <v>16243670</v>
      </c>
      <c r="J6" s="8" t="n">
        <f aca="false">SUM(B6:I6)</f>
        <v>150716861</v>
      </c>
      <c r="K6" s="23" t="n">
        <v>163689638</v>
      </c>
      <c r="L6" s="8" t="n">
        <f aca="false">ROUND(J6-K6,0)</f>
        <v>-12972777</v>
      </c>
    </row>
    <row r="7" customFormat="false" ht="15" hidden="false" customHeight="false" outlineLevel="0" collapsed="false">
      <c r="A7" s="15" t="s">
        <v>68</v>
      </c>
      <c r="B7" s="23" t="n">
        <v>43732689</v>
      </c>
      <c r="C7" s="23" t="n">
        <v>51592618</v>
      </c>
      <c r="D7" s="23" t="n">
        <v>54738522</v>
      </c>
      <c r="E7" s="23" t="n">
        <v>53260400</v>
      </c>
      <c r="F7" s="23" t="n">
        <v>68956310</v>
      </c>
      <c r="G7" s="23" t="n">
        <v>84015785</v>
      </c>
      <c r="H7" s="23" t="n">
        <v>59551872</v>
      </c>
      <c r="I7" s="23" t="n">
        <v>52404619</v>
      </c>
      <c r="J7" s="8" t="n">
        <f aca="false">SUM(B7:I7)</f>
        <v>468252815</v>
      </c>
      <c r="K7" s="23" t="n">
        <v>455280038</v>
      </c>
      <c r="L7" s="8" t="n">
        <f aca="false">ROUND(J7-K7,0)</f>
        <v>12972777</v>
      </c>
    </row>
    <row r="8" customFormat="false" ht="15" hidden="false" customHeight="false" outlineLevel="0" collapsed="false">
      <c r="A8" s="13" t="s">
        <v>69</v>
      </c>
      <c r="B8" s="22" t="n">
        <v>28644316</v>
      </c>
      <c r="C8" s="22" t="n">
        <v>36206194</v>
      </c>
      <c r="D8" s="22" t="n">
        <v>19657780</v>
      </c>
      <c r="E8" s="22" t="n">
        <v>53519267</v>
      </c>
      <c r="F8" s="22" t="n">
        <v>23905588</v>
      </c>
      <c r="G8" s="22" t="n">
        <v>98058387</v>
      </c>
      <c r="H8" s="22" t="n">
        <v>37671013</v>
      </c>
      <c r="I8" s="22" t="n">
        <v>40769091</v>
      </c>
      <c r="J8" s="10" t="n">
        <f aca="false">SUM(B8:I8)</f>
        <v>338431636</v>
      </c>
      <c r="K8" s="22" t="n">
        <v>338431636</v>
      </c>
      <c r="L8" s="8" t="n">
        <f aca="false">ROUND(J8-K8,0)</f>
        <v>0</v>
      </c>
    </row>
    <row r="9" customFormat="false" ht="15" hidden="false" customHeight="false" outlineLevel="0" collapsed="false">
      <c r="A9" s="15" t="s">
        <v>70</v>
      </c>
      <c r="B9" s="23" t="n">
        <v>15088373</v>
      </c>
      <c r="C9" s="23" t="n">
        <v>15386424</v>
      </c>
      <c r="D9" s="23" t="n">
        <v>35080742</v>
      </c>
      <c r="E9" s="23" t="n">
        <v>-258867</v>
      </c>
      <c r="F9" s="23" t="n">
        <v>45050722</v>
      </c>
      <c r="G9" s="23" t="n">
        <v>-14042602</v>
      </c>
      <c r="H9" s="23" t="n">
        <v>21880859</v>
      </c>
      <c r="I9" s="23" t="n">
        <v>11635528</v>
      </c>
      <c r="J9" s="8" t="n">
        <f aca="false">SUM(B9:I9)</f>
        <v>129821179</v>
      </c>
      <c r="K9" s="23" t="n">
        <v>116848402</v>
      </c>
      <c r="L9" s="8" t="n">
        <f aca="false">ROUND(J9-K9,0)</f>
        <v>12972777</v>
      </c>
    </row>
    <row r="10" customFormat="false" ht="15" hidden="false" customHeight="false" outlineLevel="0" collapsed="false">
      <c r="A10" s="13" t="s">
        <v>71</v>
      </c>
      <c r="B10" s="22" t="n">
        <v>14479.12</v>
      </c>
      <c r="C10" s="22" t="n">
        <v>28512.09</v>
      </c>
      <c r="D10" s="22" t="n">
        <v>19642.15</v>
      </c>
      <c r="E10" s="22" t="n">
        <v>63242452.82</v>
      </c>
      <c r="F10" s="22" t="n">
        <v>26514219.89</v>
      </c>
      <c r="G10" s="22" t="n">
        <v>102633816.89</v>
      </c>
      <c r="H10" s="22" t="n">
        <v>32436521.91</v>
      </c>
      <c r="I10" s="22" t="n">
        <v>35543021.99</v>
      </c>
      <c r="J10" s="10" t="n">
        <f aca="false">SUM(B10:I10)</f>
        <v>260432666.86</v>
      </c>
      <c r="K10" s="22" t="n">
        <v>260432666.86</v>
      </c>
      <c r="L10" s="8" t="n">
        <f aca="false">ROUND(J10-K10,0)</f>
        <v>0</v>
      </c>
    </row>
    <row r="11" customFormat="false" ht="15" hidden="false" customHeight="false" outlineLevel="0" collapsed="false">
      <c r="A11" s="13" t="s">
        <v>72</v>
      </c>
      <c r="B11" s="22" t="n">
        <v>735455</v>
      </c>
      <c r="C11" s="22" t="n">
        <v>603190</v>
      </c>
      <c r="D11" s="22" t="n">
        <v>726548</v>
      </c>
      <c r="E11" s="22" t="n">
        <v>16545842</v>
      </c>
      <c r="F11" s="22" t="n">
        <v>940840</v>
      </c>
      <c r="G11" s="22" t="n">
        <v>35490180</v>
      </c>
      <c r="H11" s="22" t="n">
        <v>21226129</v>
      </c>
      <c r="I11" s="22" t="n">
        <v>11035461</v>
      </c>
      <c r="J11" s="10" t="n">
        <f aca="false">SUM(B11:I11)</f>
        <v>87303645</v>
      </c>
      <c r="K11" s="22" t="n">
        <v>87303644</v>
      </c>
      <c r="L11" s="8" t="n">
        <f aca="false">ROUND(J11-K11,0)</f>
        <v>1</v>
      </c>
    </row>
    <row r="12" customFormat="false" ht="15" hidden="false" customHeight="false" outlineLevel="0" collapsed="false">
      <c r="A12" s="15" t="s">
        <v>73</v>
      </c>
      <c r="B12" s="23" t="n">
        <v>14367398</v>
      </c>
      <c r="C12" s="23" t="n">
        <v>14811746</v>
      </c>
      <c r="D12" s="23" t="n">
        <v>34373836</v>
      </c>
      <c r="E12" s="23" t="n">
        <v>46437744</v>
      </c>
      <c r="F12" s="23" t="n">
        <v>70624102</v>
      </c>
      <c r="G12" s="23" t="n">
        <v>53101035</v>
      </c>
      <c r="H12" s="23" t="n">
        <v>33091251</v>
      </c>
      <c r="I12" s="23" t="n">
        <v>36143089</v>
      </c>
      <c r="J12" s="8" t="n">
        <f aca="false">SUM(B12:I12)</f>
        <v>302950201</v>
      </c>
      <c r="K12" s="23" t="n">
        <v>289977425</v>
      </c>
      <c r="L12" s="8" t="n">
        <f aca="false">ROUND(J12-K12,0)</f>
        <v>12972776</v>
      </c>
    </row>
    <row r="13" customFormat="false" ht="15" hidden="false" customHeight="false" outlineLevel="0" collapsed="false">
      <c r="A13" s="13" t="s">
        <v>74</v>
      </c>
      <c r="B13" s="22" t="n">
        <v>0</v>
      </c>
      <c r="C13" s="22" t="n">
        <v>13151000</v>
      </c>
      <c r="D13" s="22" t="n">
        <v>0</v>
      </c>
      <c r="E13" s="22" t="n">
        <v>27993000</v>
      </c>
      <c r="F13" s="22" t="n">
        <v>0</v>
      </c>
      <c r="G13" s="22" t="n">
        <v>28617000</v>
      </c>
      <c r="H13" s="22" t="n">
        <v>0</v>
      </c>
      <c r="I13" s="22" t="n">
        <v>22869000</v>
      </c>
      <c r="J13" s="10" t="n">
        <f aca="false">SUM(B13:I13)</f>
        <v>92630000</v>
      </c>
      <c r="K13" s="22" t="n">
        <v>92630000</v>
      </c>
      <c r="L13" s="8" t="n">
        <f aca="false">ROUND(J13-K13,0)</f>
        <v>0</v>
      </c>
    </row>
    <row r="14" customFormat="false" ht="15" hidden="false" customHeight="false" outlineLevel="0" collapsed="false">
      <c r="A14" s="15" t="s">
        <v>75</v>
      </c>
      <c r="B14" s="23" t="n">
        <v>14367398</v>
      </c>
      <c r="C14" s="23" t="n">
        <v>1660746</v>
      </c>
      <c r="D14" s="23" t="n">
        <v>34373836</v>
      </c>
      <c r="E14" s="23" t="n">
        <v>18444744</v>
      </c>
      <c r="F14" s="23" t="n">
        <v>70624102</v>
      </c>
      <c r="G14" s="23" t="n">
        <v>24484035</v>
      </c>
      <c r="H14" s="23" t="n">
        <v>33091251</v>
      </c>
      <c r="I14" s="23" t="n">
        <v>13274089</v>
      </c>
      <c r="J14" s="8" t="n">
        <f aca="false">SUM(B14:I14)</f>
        <v>210320201</v>
      </c>
      <c r="K14" s="23" t="n">
        <v>197347425</v>
      </c>
      <c r="L14" s="8" t="n">
        <f aca="false">ROUND(J14-K14,0)</f>
        <v>12972776</v>
      </c>
    </row>
    <row r="16" customFormat="false" ht="15" hidden="false" customHeight="false" outlineLevel="0" collapsed="false">
      <c r="A16" s="24" t="s">
        <v>76</v>
      </c>
      <c r="L16" s="26" t="n">
        <f aca="false">L14</f>
        <v>12972776</v>
      </c>
    </row>
    <row r="17" customFormat="false" ht="15" hidden="false" customHeight="false" outlineLevel="0" collapsed="false">
      <c r="A17" s="24" t="s">
        <v>77</v>
      </c>
      <c r="L17" s="27" t="n">
        <f aca="false">'1. Costos'!H14+'1. Costos'!I14</f>
        <v>12972777</v>
      </c>
    </row>
    <row r="18" customFormat="false" ht="15" hidden="false" customHeight="false" outlineLevel="0" collapsed="false">
      <c r="A18" s="24" t="s">
        <v>78</v>
      </c>
      <c r="L18" s="28" t="str">
        <f aca="false">IF(ABS(L16-L17)&lt;=1,"SÍ, cuadra","NO")</f>
        <v>SÍ, cuadra</v>
      </c>
    </row>
    <row r="20" customFormat="false" ht="15" hidden="false" customHeight="false" outlineLevel="0" collapsed="false">
      <c r="A20" s="24" t="s">
        <v>59</v>
      </c>
    </row>
    <row r="21" customFormat="false" ht="15" hidden="false" customHeight="false" outlineLevel="0" collapsed="false">
      <c r="A21" s="25" t="s">
        <v>79</v>
      </c>
    </row>
    <row r="22" customFormat="false" ht="15" hidden="false" customHeight="false" outlineLevel="0" collapsed="false">
      <c r="A22" s="25" t="s">
        <v>80</v>
      </c>
    </row>
    <row r="23" customFormat="false" ht="15" hidden="false" customHeight="false" outlineLevel="0" collapsed="false">
      <c r="A23" s="25" t="s">
        <v>81</v>
      </c>
    </row>
  </sheetData>
  <conditionalFormatting sqref="L5">
    <cfRule type="expression" priority="2" aboveAverage="0" equalAverage="0" bottom="0" percent="0" rank="0" text="" dxfId="0">
      <formula>ABS(L5)&gt;1</formula>
    </cfRule>
  </conditionalFormatting>
  <conditionalFormatting sqref="L6">
    <cfRule type="expression" priority="3" aboveAverage="0" equalAverage="0" bottom="0" percent="0" rank="0" text="" dxfId="0">
      <formula>ABS(L6)&gt;1</formula>
    </cfRule>
  </conditionalFormatting>
  <conditionalFormatting sqref="L7">
    <cfRule type="expression" priority="4" aboveAverage="0" equalAverage="0" bottom="0" percent="0" rank="0" text="" dxfId="0">
      <formula>ABS(L7)&gt;1</formula>
    </cfRule>
  </conditionalFormatting>
  <conditionalFormatting sqref="L8">
    <cfRule type="expression" priority="5" aboveAverage="0" equalAverage="0" bottom="0" percent="0" rank="0" text="" dxfId="0">
      <formula>ABS(L8)&gt;1</formula>
    </cfRule>
  </conditionalFormatting>
  <conditionalFormatting sqref="L9">
    <cfRule type="expression" priority="6" aboveAverage="0" equalAverage="0" bottom="0" percent="0" rank="0" text="" dxfId="0">
      <formula>ABS(L9)&gt;1</formula>
    </cfRule>
  </conditionalFormatting>
  <conditionalFormatting sqref="L10">
    <cfRule type="expression" priority="7" aboveAverage="0" equalAverage="0" bottom="0" percent="0" rank="0" text="" dxfId="0">
      <formula>ABS(L10)&gt;1</formula>
    </cfRule>
  </conditionalFormatting>
  <conditionalFormatting sqref="L11">
    <cfRule type="expression" priority="8" aboveAverage="0" equalAverage="0" bottom="0" percent="0" rank="0" text="" dxfId="0">
      <formula>ABS(L11)&gt;1</formula>
    </cfRule>
  </conditionalFormatting>
  <conditionalFormatting sqref="L12">
    <cfRule type="expression" priority="9" aboveAverage="0" equalAverage="0" bottom="0" percent="0" rank="0" text="" dxfId="0">
      <formula>ABS(L12)&gt;1</formula>
    </cfRule>
  </conditionalFormatting>
  <conditionalFormatting sqref="L13">
    <cfRule type="expression" priority="10" aboveAverage="0" equalAverage="0" bottom="0" percent="0" rank="0" text="" dxfId="0">
      <formula>ABS(L13)&gt;1</formula>
    </cfRule>
  </conditionalFormatting>
  <conditionalFormatting sqref="L14">
    <cfRule type="expression" priority="11" aboveAverage="0" equalAverage="0" bottom="0" percent="0" rank="0" text="" dxfId="0">
      <formula>ABS(L14)&gt;1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2" min="2" style="0" width="14"/>
  </cols>
  <sheetData>
    <row r="1" customFormat="false" ht="27.75" hidden="false" customHeight="true" outlineLevel="0" collapsed="false">
      <c r="A1" s="2" t="s">
        <v>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3" t="s">
        <v>83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30" hidden="false" customHeight="true" outlineLevel="0" collapsed="false">
      <c r="A4" s="19" t="s">
        <v>6</v>
      </c>
      <c r="B4" s="19" t="s">
        <v>37</v>
      </c>
      <c r="C4" s="19" t="s">
        <v>38</v>
      </c>
      <c r="D4" s="19" t="s">
        <v>39</v>
      </c>
      <c r="E4" s="19" t="s">
        <v>40</v>
      </c>
      <c r="F4" s="19" t="s">
        <v>41</v>
      </c>
      <c r="G4" s="19" t="s">
        <v>42</v>
      </c>
      <c r="H4" s="19" t="s">
        <v>7</v>
      </c>
      <c r="I4" s="19" t="s">
        <v>8</v>
      </c>
      <c r="J4" s="20" t="s">
        <v>43</v>
      </c>
      <c r="K4" s="20" t="s">
        <v>44</v>
      </c>
      <c r="L4" s="20" t="s">
        <v>18</v>
      </c>
    </row>
    <row r="5" customFormat="false" ht="15" hidden="false" customHeight="false" outlineLevel="0" collapsed="false">
      <c r="A5" s="13" t="s">
        <v>66</v>
      </c>
      <c r="B5" s="10" t="n">
        <f aca="false">'2. Cuadre acumulado'!B5</f>
        <v>63161460</v>
      </c>
      <c r="C5" s="10" t="n">
        <f aca="false">'2. Cuadre acumulado'!C5</f>
        <v>70894572</v>
      </c>
      <c r="D5" s="10" t="n">
        <f aca="false">'2. Cuadre acumulado'!D5</f>
        <v>74422717</v>
      </c>
      <c r="E5" s="10" t="n">
        <f aca="false">'2. Cuadre acumulado'!E5</f>
        <v>73518795</v>
      </c>
      <c r="F5" s="10" t="n">
        <f aca="false">'2. Cuadre acumulado'!F5</f>
        <v>91144572</v>
      </c>
      <c r="G5" s="10" t="n">
        <f aca="false">'2. Cuadre acumulado'!G5</f>
        <v>102167217</v>
      </c>
      <c r="H5" s="10" t="n">
        <f aca="false">'2. Cuadre acumulado'!H5</f>
        <v>75012054</v>
      </c>
      <c r="I5" s="10" t="n">
        <f aca="false">'2. Cuadre acumulado'!I5</f>
        <v>68648289</v>
      </c>
      <c r="J5" s="10" t="n">
        <f aca="false">SUM(B5:I5)</f>
        <v>618969676</v>
      </c>
      <c r="K5" s="29" t="n">
        <f aca="false">'2. Cuadre acumulado'!K5</f>
        <v>618969676</v>
      </c>
      <c r="L5" s="8" t="n">
        <f aca="false">ROUND(J5-K5,0)</f>
        <v>0</v>
      </c>
    </row>
    <row r="6" customFormat="false" ht="15" hidden="false" customHeight="false" outlineLevel="0" collapsed="false">
      <c r="A6" s="13" t="s">
        <v>84</v>
      </c>
      <c r="B6" s="10" t="n">
        <f aca="false">'1. Costos'!B19</f>
        <v>19428771</v>
      </c>
      <c r="C6" s="10" t="n">
        <f aca="false">'1. Costos'!C19</f>
        <v>19301954</v>
      </c>
      <c r="D6" s="10" t="n">
        <f aca="false">'1. Costos'!D19</f>
        <v>19684195</v>
      </c>
      <c r="E6" s="10" t="n">
        <f aca="false">'1. Costos'!E19</f>
        <v>20258395</v>
      </c>
      <c r="F6" s="10" t="n">
        <f aca="false">'1. Costos'!F19</f>
        <v>22188262</v>
      </c>
      <c r="G6" s="10" t="n">
        <f aca="false">'1. Costos'!G19</f>
        <v>18151432</v>
      </c>
      <c r="H6" s="10" t="n">
        <f aca="false">'1. Costos'!H19</f>
        <v>21345703</v>
      </c>
      <c r="I6" s="10" t="n">
        <f aca="false">'1. Costos'!I19</f>
        <v>23330926</v>
      </c>
      <c r="J6" s="10" t="n">
        <f aca="false">SUM(B6:I6)</f>
        <v>163689638</v>
      </c>
      <c r="K6" s="29" t="n">
        <f aca="false">'2. Cuadre acumulado'!K6</f>
        <v>163689638</v>
      </c>
      <c r="L6" s="8" t="n">
        <f aca="false">ROUND(J6-K6,0)</f>
        <v>0</v>
      </c>
    </row>
    <row r="7" customFormat="false" ht="15" hidden="false" customHeight="false" outlineLevel="0" collapsed="false">
      <c r="A7" s="15" t="s">
        <v>68</v>
      </c>
      <c r="B7" s="8" t="n">
        <f aca="false">B5-B6</f>
        <v>43732689</v>
      </c>
      <c r="C7" s="8" t="n">
        <f aca="false">C5-C6</f>
        <v>51592618</v>
      </c>
      <c r="D7" s="8" t="n">
        <f aca="false">D5-D6</f>
        <v>54738522</v>
      </c>
      <c r="E7" s="8" t="n">
        <f aca="false">E5-E6</f>
        <v>53260400</v>
      </c>
      <c r="F7" s="8" t="n">
        <f aca="false">F5-F6</f>
        <v>68956310</v>
      </c>
      <c r="G7" s="8" t="n">
        <f aca="false">G5-G6</f>
        <v>84015785</v>
      </c>
      <c r="H7" s="8" t="n">
        <f aca="false">H5-H6</f>
        <v>53666351</v>
      </c>
      <c r="I7" s="8" t="n">
        <f aca="false">I5-I6</f>
        <v>45317363</v>
      </c>
      <c r="J7" s="8" t="n">
        <f aca="false">SUM(B7:I7)</f>
        <v>455280038</v>
      </c>
      <c r="K7" s="29" t="n">
        <f aca="false">'2. Cuadre acumulado'!K7</f>
        <v>455280038</v>
      </c>
      <c r="L7" s="8" t="n">
        <f aca="false">ROUND(J7-K7,0)</f>
        <v>0</v>
      </c>
    </row>
    <row r="8" customFormat="false" ht="15" hidden="false" customHeight="false" outlineLevel="0" collapsed="false">
      <c r="A8" s="13" t="s">
        <v>69</v>
      </c>
      <c r="B8" s="10" t="n">
        <f aca="false">'2. Cuadre acumulado'!B8</f>
        <v>28644316</v>
      </c>
      <c r="C8" s="10" t="n">
        <f aca="false">'2. Cuadre acumulado'!C8</f>
        <v>36206194</v>
      </c>
      <c r="D8" s="10" t="n">
        <f aca="false">'2. Cuadre acumulado'!D8</f>
        <v>19657780</v>
      </c>
      <c r="E8" s="10" t="n">
        <f aca="false">'2. Cuadre acumulado'!E8</f>
        <v>53519267</v>
      </c>
      <c r="F8" s="10" t="n">
        <f aca="false">'2. Cuadre acumulado'!F8</f>
        <v>23905588</v>
      </c>
      <c r="G8" s="10" t="n">
        <f aca="false">'2. Cuadre acumulado'!G8</f>
        <v>98058387</v>
      </c>
      <c r="H8" s="10" t="n">
        <f aca="false">'2. Cuadre acumulado'!H8</f>
        <v>37671013</v>
      </c>
      <c r="I8" s="10" t="n">
        <f aca="false">'2. Cuadre acumulado'!I8</f>
        <v>40769091</v>
      </c>
      <c r="J8" s="10" t="n">
        <f aca="false">SUM(B8:I8)</f>
        <v>338431636</v>
      </c>
      <c r="K8" s="29" t="n">
        <f aca="false">'2. Cuadre acumulado'!K8</f>
        <v>338431636</v>
      </c>
      <c r="L8" s="8" t="n">
        <f aca="false">ROUND(J8-K8,0)</f>
        <v>0</v>
      </c>
    </row>
    <row r="9" customFormat="false" ht="15" hidden="false" customHeight="false" outlineLevel="0" collapsed="false">
      <c r="A9" s="15" t="s">
        <v>70</v>
      </c>
      <c r="B9" s="8" t="n">
        <f aca="false">B7-B8</f>
        <v>15088373</v>
      </c>
      <c r="C9" s="8" t="n">
        <f aca="false">C7-C8</f>
        <v>15386424</v>
      </c>
      <c r="D9" s="8" t="n">
        <f aca="false">D7-D8</f>
        <v>35080742</v>
      </c>
      <c r="E9" s="8" t="n">
        <f aca="false">E7-E8</f>
        <v>-258867</v>
      </c>
      <c r="F9" s="8" t="n">
        <f aca="false">F7-F8</f>
        <v>45050722</v>
      </c>
      <c r="G9" s="8" t="n">
        <f aca="false">G7-G8</f>
        <v>-14042602</v>
      </c>
      <c r="H9" s="8" t="n">
        <f aca="false">H7-H8</f>
        <v>15995338</v>
      </c>
      <c r="I9" s="8" t="n">
        <f aca="false">I7-I8</f>
        <v>4548272</v>
      </c>
      <c r="J9" s="8" t="n">
        <f aca="false">SUM(B9:I9)</f>
        <v>116848402</v>
      </c>
      <c r="K9" s="29" t="n">
        <f aca="false">'2. Cuadre acumulado'!K9</f>
        <v>116848402</v>
      </c>
      <c r="L9" s="8" t="n">
        <f aca="false">ROUND(J9-K9,0)</f>
        <v>0</v>
      </c>
    </row>
    <row r="10" customFormat="false" ht="15" hidden="false" customHeight="false" outlineLevel="0" collapsed="false">
      <c r="A10" s="13" t="s">
        <v>71</v>
      </c>
      <c r="B10" s="10" t="n">
        <f aca="false">'2. Cuadre acumulado'!B10</f>
        <v>14479.12</v>
      </c>
      <c r="C10" s="10" t="n">
        <f aca="false">'2. Cuadre acumulado'!C10</f>
        <v>28512.09</v>
      </c>
      <c r="D10" s="10" t="n">
        <f aca="false">'2. Cuadre acumulado'!D10</f>
        <v>19642.15</v>
      </c>
      <c r="E10" s="10" t="n">
        <f aca="false">'2. Cuadre acumulado'!E10</f>
        <v>63242452.82</v>
      </c>
      <c r="F10" s="10" t="n">
        <f aca="false">'2. Cuadre acumulado'!F10</f>
        <v>26514219.89</v>
      </c>
      <c r="G10" s="10" t="n">
        <f aca="false">'2. Cuadre acumulado'!G10</f>
        <v>102633816.89</v>
      </c>
      <c r="H10" s="10" t="n">
        <f aca="false">'2. Cuadre acumulado'!H10</f>
        <v>32436521.91</v>
      </c>
      <c r="I10" s="10" t="n">
        <f aca="false">'2. Cuadre acumulado'!I10</f>
        <v>35543021.99</v>
      </c>
      <c r="J10" s="10" t="n">
        <f aca="false">SUM(B10:I10)</f>
        <v>260432666.86</v>
      </c>
      <c r="K10" s="29" t="n">
        <f aca="false">'2. Cuadre acumulado'!K10</f>
        <v>260432666.86</v>
      </c>
      <c r="L10" s="8" t="n">
        <f aca="false">ROUND(J10-K10,0)</f>
        <v>0</v>
      </c>
    </row>
    <row r="11" customFormat="false" ht="15" hidden="false" customHeight="false" outlineLevel="0" collapsed="false">
      <c r="A11" s="13" t="s">
        <v>72</v>
      </c>
      <c r="B11" s="10" t="n">
        <f aca="false">'2. Cuadre acumulado'!B11</f>
        <v>735455</v>
      </c>
      <c r="C11" s="10" t="n">
        <f aca="false">'2. Cuadre acumulado'!C11</f>
        <v>603190</v>
      </c>
      <c r="D11" s="10" t="n">
        <f aca="false">'2. Cuadre acumulado'!D11</f>
        <v>726548</v>
      </c>
      <c r="E11" s="10" t="n">
        <f aca="false">'2. Cuadre acumulado'!E11</f>
        <v>16545842</v>
      </c>
      <c r="F11" s="10" t="n">
        <f aca="false">'2. Cuadre acumulado'!F11</f>
        <v>940840</v>
      </c>
      <c r="G11" s="10" t="n">
        <f aca="false">'2. Cuadre acumulado'!G11</f>
        <v>35490180</v>
      </c>
      <c r="H11" s="10" t="n">
        <f aca="false">'2. Cuadre acumulado'!H11</f>
        <v>21226129</v>
      </c>
      <c r="I11" s="10" t="n">
        <f aca="false">'2. Cuadre acumulado'!I11</f>
        <v>11035461</v>
      </c>
      <c r="J11" s="10" t="n">
        <f aca="false">SUM(B11:I11)</f>
        <v>87303645</v>
      </c>
      <c r="K11" s="29" t="n">
        <f aca="false">'2. Cuadre acumulado'!K11</f>
        <v>87303644</v>
      </c>
      <c r="L11" s="8" t="n">
        <f aca="false">ROUND(J11-K11,0)</f>
        <v>1</v>
      </c>
    </row>
    <row r="12" customFormat="false" ht="15" hidden="false" customHeight="false" outlineLevel="0" collapsed="false">
      <c r="A12" s="15" t="s">
        <v>73</v>
      </c>
      <c r="B12" s="8" t="n">
        <f aca="false">B9+B10-B11</f>
        <v>14367397.12</v>
      </c>
      <c r="C12" s="8" t="n">
        <f aca="false">C9+C10-C11</f>
        <v>14811746.09</v>
      </c>
      <c r="D12" s="8" t="n">
        <f aca="false">D9+D10-D11</f>
        <v>34373836.15</v>
      </c>
      <c r="E12" s="8" t="n">
        <f aca="false">E9+E10-E11</f>
        <v>46437743.82</v>
      </c>
      <c r="F12" s="8" t="n">
        <f aca="false">F9+F10-F11</f>
        <v>70624101.89</v>
      </c>
      <c r="G12" s="8" t="n">
        <f aca="false">G9+G10-G11</f>
        <v>53101034.89</v>
      </c>
      <c r="H12" s="8" t="n">
        <f aca="false">H9+H10-H11</f>
        <v>27205730.91</v>
      </c>
      <c r="I12" s="8" t="n">
        <f aca="false">I9+I10-I11</f>
        <v>29055832.99</v>
      </c>
      <c r="J12" s="8" t="n">
        <f aca="false">SUM(B12:I12)</f>
        <v>289977423.86</v>
      </c>
      <c r="K12" s="29" t="n">
        <f aca="false">'2. Cuadre acumulado'!K12</f>
        <v>289977425</v>
      </c>
      <c r="L12" s="8" t="n">
        <f aca="false">ROUND(J12-K12,0)</f>
        <v>-1</v>
      </c>
    </row>
    <row r="13" customFormat="false" ht="15" hidden="false" customHeight="false" outlineLevel="0" collapsed="false">
      <c r="A13" s="13" t="s">
        <v>74</v>
      </c>
      <c r="B13" s="10" t="n">
        <f aca="false">'2. Cuadre acumulado'!B13</f>
        <v>0</v>
      </c>
      <c r="C13" s="10" t="n">
        <f aca="false">'2. Cuadre acumulado'!C13</f>
        <v>13151000</v>
      </c>
      <c r="D13" s="10" t="n">
        <f aca="false">'2. Cuadre acumulado'!D13</f>
        <v>0</v>
      </c>
      <c r="E13" s="10" t="n">
        <f aca="false">'2. Cuadre acumulado'!E13</f>
        <v>27993000</v>
      </c>
      <c r="F13" s="10" t="n">
        <f aca="false">'2. Cuadre acumulado'!F13</f>
        <v>0</v>
      </c>
      <c r="G13" s="10" t="n">
        <f aca="false">'2. Cuadre acumulado'!G13</f>
        <v>28617000</v>
      </c>
      <c r="H13" s="10" t="n">
        <f aca="false">'2. Cuadre acumulado'!H13</f>
        <v>0</v>
      </c>
      <c r="I13" s="10" t="n">
        <f aca="false">'2. Cuadre acumulado'!I13</f>
        <v>22869000</v>
      </c>
      <c r="J13" s="10" t="n">
        <f aca="false">SUM(B13:I13)</f>
        <v>92630000</v>
      </c>
      <c r="K13" s="29" t="n">
        <f aca="false">'2. Cuadre acumulado'!K13</f>
        <v>92630000</v>
      </c>
      <c r="L13" s="8" t="n">
        <f aca="false">ROUND(J13-K13,0)</f>
        <v>0</v>
      </c>
    </row>
    <row r="14" customFormat="false" ht="15" hidden="false" customHeight="false" outlineLevel="0" collapsed="false">
      <c r="A14" s="15" t="s">
        <v>85</v>
      </c>
      <c r="B14" s="8" t="n">
        <f aca="false">B12-B13</f>
        <v>14367397.12</v>
      </c>
      <c r="C14" s="8" t="n">
        <f aca="false">C12-C13</f>
        <v>1660746.09</v>
      </c>
      <c r="D14" s="8" t="n">
        <f aca="false">D12-D13</f>
        <v>34373836.15</v>
      </c>
      <c r="E14" s="8" t="n">
        <f aca="false">E12-E13</f>
        <v>18444743.82</v>
      </c>
      <c r="F14" s="8" t="n">
        <f aca="false">F12-F13</f>
        <v>70624101.89</v>
      </c>
      <c r="G14" s="8" t="n">
        <f aca="false">G12-G13</f>
        <v>24484034.89</v>
      </c>
      <c r="H14" s="8" t="n">
        <f aca="false">H12-H13</f>
        <v>27205730.91</v>
      </c>
      <c r="I14" s="8" t="n">
        <f aca="false">I12-I13</f>
        <v>6186832.99</v>
      </c>
      <c r="J14" s="8" t="n">
        <f aca="false">SUM(B14:I14)</f>
        <v>197347423.86</v>
      </c>
      <c r="K14" s="29" t="n">
        <f aca="false">'2. Cuadre acumulado'!K14</f>
        <v>197347425</v>
      </c>
      <c r="L14" s="8" t="n">
        <f aca="false">ROUND(J14-K14,0)</f>
        <v>-1</v>
      </c>
    </row>
    <row r="16" customFormat="false" ht="15" hidden="false" customHeight="false" outlineLevel="0" collapsed="false">
      <c r="A16" s="30" t="s">
        <v>86</v>
      </c>
    </row>
    <row r="17" customFormat="false" ht="23.85" hidden="false" customHeight="false" outlineLevel="0" collapsed="false">
      <c r="A17" s="31" t="s">
        <v>6</v>
      </c>
      <c r="B17" s="31" t="s">
        <v>87</v>
      </c>
      <c r="C17" s="31" t="s">
        <v>88</v>
      </c>
      <c r="D17" s="31" t="s">
        <v>18</v>
      </c>
      <c r="E17" s="31" t="s">
        <v>89</v>
      </c>
      <c r="F17" s="31" t="s">
        <v>90</v>
      </c>
      <c r="G17" s="31" t="s">
        <v>18</v>
      </c>
    </row>
    <row r="18" customFormat="false" ht="15" hidden="false" customHeight="false" outlineLevel="0" collapsed="false">
      <c r="A18" s="24" t="s">
        <v>67</v>
      </c>
      <c r="B18" s="11" t="n">
        <f aca="false">'2. Cuadre acumulado'!H6</f>
        <v>15460182</v>
      </c>
      <c r="C18" s="11" t="n">
        <f aca="false">H6</f>
        <v>21345703</v>
      </c>
      <c r="D18" s="9" t="n">
        <f aca="false">C18-B18</f>
        <v>5885521</v>
      </c>
      <c r="E18" s="11" t="n">
        <f aca="false">'2. Cuadre acumulado'!I6</f>
        <v>16243670</v>
      </c>
      <c r="F18" s="11" t="n">
        <f aca="false">I6</f>
        <v>23330926</v>
      </c>
      <c r="G18" s="9" t="n">
        <f aca="false">F18-E18</f>
        <v>7087256</v>
      </c>
    </row>
    <row r="19" customFormat="false" ht="15" hidden="false" customHeight="false" outlineLevel="0" collapsed="false">
      <c r="A19" s="24" t="s">
        <v>68</v>
      </c>
      <c r="B19" s="11" t="n">
        <f aca="false">'2. Cuadre acumulado'!H7</f>
        <v>59551872</v>
      </c>
      <c r="C19" s="11" t="n">
        <f aca="false">H7</f>
        <v>53666351</v>
      </c>
      <c r="D19" s="9" t="n">
        <f aca="false">C19-B19</f>
        <v>-5885521</v>
      </c>
      <c r="E19" s="11" t="n">
        <f aca="false">'2. Cuadre acumulado'!I7</f>
        <v>52404619</v>
      </c>
      <c r="F19" s="11" t="n">
        <f aca="false">I7</f>
        <v>45317363</v>
      </c>
      <c r="G19" s="9" t="n">
        <f aca="false">F19-E19</f>
        <v>-7087256</v>
      </c>
    </row>
    <row r="20" customFormat="false" ht="15" hidden="false" customHeight="false" outlineLevel="0" collapsed="false">
      <c r="A20" s="24" t="s">
        <v>70</v>
      </c>
      <c r="B20" s="11" t="n">
        <f aca="false">'2. Cuadre acumulado'!H9</f>
        <v>21880859</v>
      </c>
      <c r="C20" s="11" t="n">
        <f aca="false">H9</f>
        <v>15995338</v>
      </c>
      <c r="D20" s="9" t="n">
        <f aca="false">C20-B20</f>
        <v>-5885521</v>
      </c>
      <c r="E20" s="11" t="n">
        <f aca="false">'2. Cuadre acumulado'!I9</f>
        <v>11635528</v>
      </c>
      <c r="F20" s="11" t="n">
        <f aca="false">I9</f>
        <v>4548272</v>
      </c>
      <c r="G20" s="9" t="n">
        <f aca="false">F20-E20</f>
        <v>-7087256</v>
      </c>
    </row>
    <row r="21" customFormat="false" ht="15" hidden="false" customHeight="false" outlineLevel="0" collapsed="false">
      <c r="A21" s="24" t="s">
        <v>73</v>
      </c>
      <c r="B21" s="11" t="n">
        <f aca="false">'2. Cuadre acumulado'!H12</f>
        <v>33091251</v>
      </c>
      <c r="C21" s="11" t="n">
        <f aca="false">H12</f>
        <v>27205730.91</v>
      </c>
      <c r="D21" s="9" t="n">
        <f aca="false">C21-B21</f>
        <v>-5885520.09</v>
      </c>
      <c r="E21" s="11" t="n">
        <f aca="false">'2. Cuadre acumulado'!I12</f>
        <v>36143089</v>
      </c>
      <c r="F21" s="11" t="n">
        <f aca="false">I12</f>
        <v>29055832.99</v>
      </c>
      <c r="G21" s="9" t="n">
        <f aca="false">F21-E21</f>
        <v>-7087256.01</v>
      </c>
    </row>
    <row r="22" customFormat="false" ht="15" hidden="false" customHeight="false" outlineLevel="0" collapsed="false">
      <c r="A22" s="24" t="s">
        <v>75</v>
      </c>
      <c r="B22" s="11" t="n">
        <f aca="false">'2. Cuadre acumulado'!H14</f>
        <v>33091251</v>
      </c>
      <c r="C22" s="11" t="n">
        <f aca="false">H14</f>
        <v>27205730.91</v>
      </c>
      <c r="D22" s="9" t="n">
        <f aca="false">C22-B22</f>
        <v>-5885520.09</v>
      </c>
      <c r="E22" s="11" t="n">
        <f aca="false">'2. Cuadre acumulado'!I14</f>
        <v>13274089</v>
      </c>
      <c r="F22" s="11" t="n">
        <f aca="false">I14</f>
        <v>6186832.99</v>
      </c>
      <c r="G22" s="9" t="n">
        <f aca="false">F22-E22</f>
        <v>-7087256.01</v>
      </c>
    </row>
  </sheetData>
  <conditionalFormatting sqref="L5">
    <cfRule type="expression" priority="2" aboveAverage="0" equalAverage="0" bottom="0" percent="0" rank="0" text="" dxfId="1">
      <formula>ABS(L5)&lt;=1</formula>
    </cfRule>
    <cfRule type="expression" priority="3" aboveAverage="0" equalAverage="0" bottom="0" percent="0" rank="0" text="" dxfId="0">
      <formula>ABS(L5)&gt;1</formula>
    </cfRule>
  </conditionalFormatting>
  <conditionalFormatting sqref="L6">
    <cfRule type="expression" priority="4" aboveAverage="0" equalAverage="0" bottom="0" percent="0" rank="0" text="" dxfId="1">
      <formula>ABS(L6)&lt;=1</formula>
    </cfRule>
    <cfRule type="expression" priority="5" aboveAverage="0" equalAverage="0" bottom="0" percent="0" rank="0" text="" dxfId="0">
      <formula>ABS(L6)&gt;1</formula>
    </cfRule>
  </conditionalFormatting>
  <conditionalFormatting sqref="L7">
    <cfRule type="expression" priority="6" aboveAverage="0" equalAverage="0" bottom="0" percent="0" rank="0" text="" dxfId="1">
      <formula>ABS(L7)&lt;=1</formula>
    </cfRule>
    <cfRule type="expression" priority="7" aboveAverage="0" equalAverage="0" bottom="0" percent="0" rank="0" text="" dxfId="0">
      <formula>ABS(L7)&gt;1</formula>
    </cfRule>
  </conditionalFormatting>
  <conditionalFormatting sqref="L8">
    <cfRule type="expression" priority="8" aboveAverage="0" equalAverage="0" bottom="0" percent="0" rank="0" text="" dxfId="1">
      <formula>ABS(L8)&lt;=1</formula>
    </cfRule>
    <cfRule type="expression" priority="9" aboveAverage="0" equalAverage="0" bottom="0" percent="0" rank="0" text="" dxfId="0">
      <formula>ABS(L8)&gt;1</formula>
    </cfRule>
  </conditionalFormatting>
  <conditionalFormatting sqref="L9">
    <cfRule type="expression" priority="10" aboveAverage="0" equalAverage="0" bottom="0" percent="0" rank="0" text="" dxfId="1">
      <formula>ABS(L9)&lt;=1</formula>
    </cfRule>
    <cfRule type="expression" priority="11" aboveAverage="0" equalAverage="0" bottom="0" percent="0" rank="0" text="" dxfId="0">
      <formula>ABS(L9)&gt;1</formula>
    </cfRule>
  </conditionalFormatting>
  <conditionalFormatting sqref="L10">
    <cfRule type="expression" priority="12" aboveAverage="0" equalAverage="0" bottom="0" percent="0" rank="0" text="" dxfId="1">
      <formula>ABS(L10)&lt;=1</formula>
    </cfRule>
    <cfRule type="expression" priority="13" aboveAverage="0" equalAverage="0" bottom="0" percent="0" rank="0" text="" dxfId="0">
      <formula>ABS(L10)&gt;1</formula>
    </cfRule>
  </conditionalFormatting>
  <conditionalFormatting sqref="L11">
    <cfRule type="expression" priority="14" aboveAverage="0" equalAverage="0" bottom="0" percent="0" rank="0" text="" dxfId="1">
      <formula>ABS(L11)&lt;=1</formula>
    </cfRule>
    <cfRule type="expression" priority="15" aboveAverage="0" equalAverage="0" bottom="0" percent="0" rank="0" text="" dxfId="0">
      <formula>ABS(L11)&gt;1</formula>
    </cfRule>
  </conditionalFormatting>
  <conditionalFormatting sqref="L12">
    <cfRule type="expression" priority="16" aboveAverage="0" equalAverage="0" bottom="0" percent="0" rank="0" text="" dxfId="1">
      <formula>ABS(L12)&lt;=1</formula>
    </cfRule>
    <cfRule type="expression" priority="17" aboveAverage="0" equalAverage="0" bottom="0" percent="0" rank="0" text="" dxfId="0">
      <formula>ABS(L12)&gt;1</formula>
    </cfRule>
  </conditionalFormatting>
  <conditionalFormatting sqref="L13">
    <cfRule type="expression" priority="18" aboveAverage="0" equalAverage="0" bottom="0" percent="0" rank="0" text="" dxfId="1">
      <formula>ABS(L13)&lt;=1</formula>
    </cfRule>
    <cfRule type="expression" priority="19" aboveAverage="0" equalAverage="0" bottom="0" percent="0" rank="0" text="" dxfId="0">
      <formula>ABS(L13)&gt;1</formula>
    </cfRule>
  </conditionalFormatting>
  <conditionalFormatting sqref="L14">
    <cfRule type="expression" priority="20" aboveAverage="0" equalAverage="0" bottom="0" percent="0" rank="0" text="" dxfId="1">
      <formula>ABS(L14)&lt;=1</formula>
    </cfRule>
    <cfRule type="expression" priority="21" aboveAverage="0" equalAverage="0" bottom="0" percent="0" rank="0" text="" dxfId="0">
      <formula>ABS(L14)&gt;1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</cols>
  <sheetData>
    <row r="1" customFormat="false" ht="19.7" hidden="false" customHeight="false" outlineLevel="0" collapsed="false">
      <c r="A1" s="2" t="s">
        <v>91</v>
      </c>
      <c r="B1" s="1"/>
      <c r="C1" s="1"/>
      <c r="D1" s="1"/>
      <c r="E1" s="1"/>
    </row>
    <row r="2" customFormat="false" ht="15" hidden="false" customHeight="false" outlineLevel="0" collapsed="false">
      <c r="A2" s="3" t="s">
        <v>92</v>
      </c>
      <c r="B2" s="1"/>
      <c r="C2" s="1"/>
      <c r="D2" s="1"/>
      <c r="E2" s="1"/>
    </row>
    <row r="4" customFormat="false" ht="15" hidden="false" customHeight="false" outlineLevel="0" collapsed="false">
      <c r="A4" s="31" t="s">
        <v>6</v>
      </c>
      <c r="B4" s="31" t="s">
        <v>93</v>
      </c>
      <c r="C4" s="31" t="s">
        <v>94</v>
      </c>
      <c r="D4" s="31" t="s">
        <v>95</v>
      </c>
    </row>
    <row r="5" customFormat="false" ht="15" hidden="false" customHeight="false" outlineLevel="0" collapsed="false">
      <c r="A5" s="12" t="s">
        <v>96</v>
      </c>
      <c r="B5" s="22" t="n">
        <v>190797487</v>
      </c>
      <c r="C5" s="22" t="n">
        <v>197347425</v>
      </c>
      <c r="D5" s="11" t="n">
        <f aca="false">C5-B5</f>
        <v>6549938</v>
      </c>
    </row>
    <row r="6" customFormat="false" ht="15" hidden="false" customHeight="false" outlineLevel="0" collapsed="false">
      <c r="A6" s="12" t="s">
        <v>97</v>
      </c>
      <c r="B6" s="11" t="n">
        <f aca="false">SUM('3. ER corregido'!B14:H14)</f>
        <v>191160590.87</v>
      </c>
      <c r="C6" s="11" t="n">
        <f aca="false">SUM('3. ER corregido'!B14:I14)</f>
        <v>197347423.86</v>
      </c>
      <c r="D6" s="11" t="n">
        <f aca="false">C6-B6</f>
        <v>6186832.99000001</v>
      </c>
    </row>
    <row r="7" customFormat="false" ht="15" hidden="false" customHeight="false" outlineLevel="0" collapsed="false">
      <c r="A7" s="12" t="s">
        <v>98</v>
      </c>
      <c r="B7" s="12" t="n">
        <f aca="false">ROUND(B5-B6,0)</f>
        <v>-363104</v>
      </c>
      <c r="C7" s="12" t="n">
        <f aca="false">ROUND(C5-C6,0)</f>
        <v>1</v>
      </c>
      <c r="D7" s="12" t="n">
        <f aca="false">ROUND(D5-D6,0)</f>
        <v>363105</v>
      </c>
    </row>
    <row r="9" customFormat="false" ht="15" hidden="false" customHeight="false" outlineLevel="0" collapsed="false">
      <c r="A9" s="24" t="s">
        <v>59</v>
      </c>
    </row>
    <row r="10" customFormat="false" ht="15" hidden="false" customHeight="false" outlineLevel="0" collapsed="false">
      <c r="A10" s="25" t="s">
        <v>99</v>
      </c>
    </row>
    <row r="11" customFormat="false" ht="15" hidden="false" customHeight="false" outlineLevel="0" collapsed="false">
      <c r="A11" s="25" t="s">
        <v>100</v>
      </c>
    </row>
    <row r="12" customFormat="false" ht="15" hidden="false" customHeight="false" outlineLevel="0" collapsed="false">
      <c r="A12" s="25" t="s">
        <v>101</v>
      </c>
    </row>
  </sheetData>
  <conditionalFormatting sqref="B7:D7">
    <cfRule type="expression" priority="2" aboveAverage="0" equalAverage="0" bottom="0" percent="0" rank="0" text="" dxfId="0">
      <formula>ABS(B7)&gt;1</formula>
    </cfRule>
    <cfRule type="expression" priority="3" aboveAverage="0" equalAverage="0" bottom="0" percent="0" rank="0" text="" dxfId="1">
      <formula>ABS(B7)&lt;=1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2026-10-06T19:27:42Z</dcterms:created>
  <dc:creator>openpyxl</dc:creator>
  <dc:description/>
  <dc:language>en-US</dc:language>
  <cp:lastModifiedBy/>
  <dcterms:modified xsi:type="dcterms:W3CDTF">2026-10-06T19:27:43Z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